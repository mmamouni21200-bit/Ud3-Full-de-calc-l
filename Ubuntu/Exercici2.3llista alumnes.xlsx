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<sst xmlns="http://schemas.openxmlformats.org/spreadsheetml/2006/main" count="44" uniqueCount="36">
  <si>
    <t xml:space="preserve">            QUADERN DEL PROFESSOR</t>
  </si>
  <si>
    <t xml:space="preserve">          ALUMNAT</t>
  </si>
  <si>
    <t xml:space="preserve">Practiques</t>
  </si>
  <si>
    <t xml:space="preserve">Exercicis</t>
  </si>
  <si>
    <t xml:space="preserve">Exàmens</t>
  </si>
  <si>
    <t xml:space="preserve">Treball</t>
  </si>
  <si>
    <t xml:space="preserve">Cognoms</t>
  </si>
  <si>
    <t xml:space="preserve">Nom</t>
  </si>
  <si>
    <t xml:space="preserve">P1</t>
  </si>
  <si>
    <t xml:space="preserve">P2</t>
  </si>
  <si>
    <t xml:space="preserve">P3</t>
  </si>
  <si>
    <t xml:space="preserve">E1</t>
  </si>
  <si>
    <t xml:space="preserve">E2</t>
  </si>
  <si>
    <t xml:space="preserve">E3</t>
  </si>
  <si>
    <t xml:space="preserve">X1</t>
  </si>
  <si>
    <t xml:space="preserve">X2</t>
  </si>
  <si>
    <t xml:space="preserve">X3</t>
  </si>
  <si>
    <t xml:space="preserve">A casa</t>
  </si>
  <si>
    <t xml:space="preserve">A classe</t>
  </si>
  <si>
    <t xml:space="preserve">Nota Final</t>
  </si>
  <si>
    <t xml:space="preserve">Mamouni</t>
  </si>
  <si>
    <t xml:space="preserve">Mohamed </t>
  </si>
  <si>
    <t xml:space="preserve">Gómez </t>
  </si>
  <si>
    <t xml:space="preserve">Joan  </t>
  </si>
  <si>
    <t xml:space="preserve">Manteca</t>
  </si>
  <si>
    <t xml:space="preserve">Dani </t>
  </si>
  <si>
    <t xml:space="preserve">Andres</t>
  </si>
  <si>
    <t xml:space="preserve">Iker </t>
  </si>
  <si>
    <t xml:space="preserve">Gomez</t>
  </si>
  <si>
    <t xml:space="preserve">Izan </t>
  </si>
  <si>
    <t xml:space="preserve">Herredia </t>
  </si>
  <si>
    <t xml:space="preserve">El Makadmi</t>
  </si>
  <si>
    <t xml:space="preserve">Mohamed</t>
  </si>
  <si>
    <t xml:space="preserve">Holgado</t>
  </si>
  <si>
    <t xml:space="preserve">Aitor</t>
  </si>
  <si>
    <t xml:space="preserve">Promedio: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</si>
</sst>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\ %"/>
    <numFmt numFmtId="166" formatCode="General"/>
  </numFmts>
  <fonts count="11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</font>
    <font>
      <b val="true"/>
      <sz val="15"/>
      <color theme="1"/>
      <name val="Arial"/>
      <family val="0"/>
    </font>
    <font>
      <sz val="15"/>
      <color theme="1"/>
      <name val="Arial"/>
      <family val="0"/>
    </font>
    <font>
      <sz val="10"/>
      <color theme="1"/>
      <name val="Times New Roman"/>
      <family val="0"/>
    </font>
    <font>
      <sz val="11"/>
      <color theme="1"/>
      <name val="Arial"/>
      <family val="2"/>
    </font>
    <font>
      <sz val="11"/>
      <color theme="1"/>
      <name val="Arial"/>
      <family val="0"/>
    </font>
    <font>
      <sz val="10"/>
      <color rgb="FF00000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5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34" activeCellId="0" sqref="O34"/>
    </sheetView>
  </sheetViews>
  <sheetFormatPr defaultColWidth="11.53515625" defaultRowHeight="12.8" zeroHeight="false" outlineLevelRow="0" outlineLevelCol="0"/>
  <sheetData>
    <row r="1" customFormat="false" ht="18.55" hidden="false" customHeight="false" outlineLevel="0" collapsed="false">
      <c r="A1" s="1"/>
      <c r="B1" s="1"/>
      <c r="C1" s="1"/>
      <c r="D1" s="1"/>
      <c r="E1" s="1"/>
      <c r="F1" s="2" t="s">
        <v>0</v>
      </c>
      <c r="G1" s="3"/>
      <c r="H1" s="3"/>
      <c r="I1" s="1"/>
      <c r="J1" s="1"/>
      <c r="K1" s="1"/>
      <c r="L1" s="1"/>
      <c r="M1" s="1"/>
      <c r="N1" s="1"/>
      <c r="O1" s="4"/>
      <c r="P1" s="4"/>
      <c r="Q1" s="4"/>
      <c r="R1" s="4"/>
    </row>
    <row r="2" customFormat="false" ht="12.8" hidden="false" customHeight="false" outlineLevel="0" collapsed="false">
      <c r="A2" s="1"/>
      <c r="B2" s="1"/>
      <c r="C2" s="1"/>
      <c r="D2" s="5"/>
      <c r="E2" s="5"/>
      <c r="F2" s="1"/>
      <c r="G2" s="5"/>
      <c r="H2" s="1"/>
      <c r="I2" s="1"/>
      <c r="J2" s="5"/>
      <c r="K2" s="1"/>
      <c r="L2" s="1"/>
      <c r="M2" s="5"/>
      <c r="N2" s="1"/>
      <c r="O2" s="4"/>
      <c r="P2" s="4"/>
      <c r="Q2" s="4"/>
      <c r="R2" s="4"/>
    </row>
    <row r="3" customFormat="false" ht="12.8" hidden="false" customHeight="false" outlineLevel="0" collapsed="false">
      <c r="A3" s="6" t="s">
        <v>1</v>
      </c>
      <c r="B3" s="6"/>
      <c r="C3" s="7" t="s">
        <v>2</v>
      </c>
      <c r="D3" s="7" t="s">
        <v>2</v>
      </c>
      <c r="E3" s="7" t="s">
        <v>2</v>
      </c>
      <c r="F3" s="7" t="s">
        <v>3</v>
      </c>
      <c r="G3" s="7" t="s">
        <v>3</v>
      </c>
      <c r="H3" s="7" t="s">
        <v>3</v>
      </c>
      <c r="I3" s="7" t="s">
        <v>4</v>
      </c>
      <c r="J3" s="7" t="s">
        <v>4</v>
      </c>
      <c r="K3" s="7" t="s">
        <v>4</v>
      </c>
      <c r="L3" s="7" t="s">
        <v>5</v>
      </c>
      <c r="M3" s="7" t="s">
        <v>5</v>
      </c>
      <c r="N3" s="6"/>
      <c r="O3" s="4"/>
      <c r="P3" s="4"/>
      <c r="Q3" s="4"/>
      <c r="R3" s="4"/>
    </row>
    <row r="4" customFormat="false" ht="12.8" hidden="false" customHeight="false" outlineLevel="0" collapsed="false">
      <c r="A4" s="6" t="s">
        <v>6</v>
      </c>
      <c r="B4" s="6" t="s">
        <v>7</v>
      </c>
      <c r="C4" s="6" t="s">
        <v>8</v>
      </c>
      <c r="D4" s="6" t="s">
        <v>9</v>
      </c>
      <c r="E4" s="6" t="s">
        <v>10</v>
      </c>
      <c r="F4" s="6" t="s">
        <v>11</v>
      </c>
      <c r="G4" s="6" t="s">
        <v>12</v>
      </c>
      <c r="H4" s="6" t="s">
        <v>13</v>
      </c>
      <c r="I4" s="6" t="s">
        <v>14</v>
      </c>
      <c r="J4" s="6" t="s">
        <v>15</v>
      </c>
      <c r="K4" s="6" t="s">
        <v>16</v>
      </c>
      <c r="L4" s="6" t="s">
        <v>17</v>
      </c>
      <c r="M4" s="6" t="s">
        <v>18</v>
      </c>
      <c r="N4" s="6" t="s">
        <v>19</v>
      </c>
      <c r="O4" s="4"/>
      <c r="P4" s="4"/>
      <c r="Q4" s="4"/>
      <c r="R4" s="4"/>
    </row>
    <row r="5" customFormat="false" ht="12.8" hidden="false" customHeight="false" outlineLevel="0" collapsed="false">
      <c r="A5" s="6"/>
      <c r="B5" s="6"/>
      <c r="C5" s="6"/>
      <c r="D5" s="8" t="n">
        <v>0.3</v>
      </c>
      <c r="E5" s="8"/>
      <c r="F5" s="6"/>
      <c r="G5" s="8" t="n">
        <v>0.1</v>
      </c>
      <c r="H5" s="6"/>
      <c r="I5" s="6"/>
      <c r="J5" s="8" t="n">
        <v>0.5</v>
      </c>
      <c r="K5" s="6"/>
      <c r="L5" s="6"/>
      <c r="M5" s="8" t="n">
        <v>0.1</v>
      </c>
      <c r="N5" s="6"/>
      <c r="O5" s="4"/>
      <c r="P5" s="4"/>
      <c r="Q5" s="4"/>
      <c r="R5" s="4"/>
    </row>
    <row r="6" customFormat="false" ht="14.15" hidden="false" customHeight="false" outlineLevel="0" collapsed="false">
      <c r="A6" s="9" t="s">
        <v>20</v>
      </c>
      <c r="B6" s="9" t="s">
        <v>21</v>
      </c>
      <c r="C6" s="10" t="n">
        <v>10</v>
      </c>
      <c r="D6" s="10" t="n">
        <v>0</v>
      </c>
      <c r="E6" s="10" t="n">
        <v>10</v>
      </c>
      <c r="F6" s="10" t="n">
        <v>4</v>
      </c>
      <c r="G6" s="10" t="n">
        <v>7</v>
      </c>
      <c r="H6" s="10" t="n">
        <v>8</v>
      </c>
      <c r="I6" s="10" t="n">
        <v>9</v>
      </c>
      <c r="J6" s="10" t="n">
        <v>8</v>
      </c>
      <c r="K6" s="10" t="n">
        <v>7</v>
      </c>
      <c r="L6" s="10" t="n">
        <v>7</v>
      </c>
      <c r="M6" s="10" t="n">
        <v>3</v>
      </c>
      <c r="N6" s="11" t="n">
        <f aca="false">((C6+D6+E6)/3)*$D$5 + ((F6+G6+H6)/3)*$G$5 + ((I6+J6+K6)/3)*$J$5 + ((L6+M6)/2)*$M$5</f>
        <v>7.13333333333333</v>
      </c>
      <c r="O6" s="4"/>
      <c r="P6" s="12" t="str">
        <f aca="false">B6 &amp; " " &amp; A6</f>
        <v>Mohamed  Mamouni</v>
      </c>
      <c r="Q6" s="4"/>
      <c r="R6" s="4"/>
    </row>
    <row r="7" customFormat="false" ht="13.8" hidden="false" customHeight="false" outlineLevel="0" collapsed="false">
      <c r="A7" s="9" t="s">
        <v>22</v>
      </c>
      <c r="B7" s="9" t="s">
        <v>23</v>
      </c>
      <c r="C7" s="11" t="n">
        <v>10</v>
      </c>
      <c r="D7" s="11" t="n">
        <v>0</v>
      </c>
      <c r="E7" s="11" t="n">
        <v>7</v>
      </c>
      <c r="F7" s="11" t="n">
        <v>6</v>
      </c>
      <c r="G7" s="11" t="n">
        <v>7</v>
      </c>
      <c r="H7" s="11" t="n">
        <v>3</v>
      </c>
      <c r="I7" s="11" t="n">
        <v>8</v>
      </c>
      <c r="J7" s="11" t="n">
        <v>7</v>
      </c>
      <c r="K7" s="11" t="n">
        <v>9</v>
      </c>
      <c r="L7" s="11" t="n">
        <v>7</v>
      </c>
      <c r="M7" s="11" t="n">
        <v>10</v>
      </c>
      <c r="N7" s="11" t="n">
        <f aca="false">((C7+D7+E7)/3)*$D$5 + ((F7+G7+H7)/3)*$G$5 + ((I7+J7+K7)/3)*$J$5 + ((L7+M7)/2)*$M$5</f>
        <v>7.08333333333333</v>
      </c>
      <c r="O7" s="4"/>
      <c r="P7" s="12" t="str">
        <f aca="false">B7 &amp; " " &amp; A7</f>
        <v>Joan   Gómez </v>
      </c>
      <c r="Q7" s="4"/>
      <c r="R7" s="4"/>
    </row>
    <row r="8" customFormat="false" ht="13.8" hidden="false" customHeight="false" outlineLevel="0" collapsed="false">
      <c r="A8" s="9" t="s">
        <v>24</v>
      </c>
      <c r="B8" s="9" t="s">
        <v>25</v>
      </c>
      <c r="C8" s="11" t="n">
        <v>10</v>
      </c>
      <c r="D8" s="11" t="n">
        <v>0</v>
      </c>
      <c r="E8" s="11" t="n">
        <v>5</v>
      </c>
      <c r="F8" s="11" t="n">
        <v>8</v>
      </c>
      <c r="G8" s="11" t="n">
        <v>6</v>
      </c>
      <c r="H8" s="11" t="n">
        <v>4</v>
      </c>
      <c r="I8" s="11" t="n">
        <v>7</v>
      </c>
      <c r="J8" s="11" t="n">
        <v>7</v>
      </c>
      <c r="K8" s="11" t="n">
        <v>6</v>
      </c>
      <c r="L8" s="11" t="n">
        <v>3</v>
      </c>
      <c r="M8" s="11" t="n">
        <v>5</v>
      </c>
      <c r="N8" s="9" t="n">
        <f aca="false">((C8+D8+E8)/3)*$D$5 + ((F8+G8+H8)/3)*$G$5 + ((I8+J8+K8)/3)*$J$5 + ((L8+M8)/2)*$M$5</f>
        <v>5.83333333333333</v>
      </c>
      <c r="O8" s="4"/>
      <c r="P8" s="12" t="str">
        <f aca="false">B8 &amp; " " &amp; A8</f>
        <v>Dani  Manteca</v>
      </c>
      <c r="Q8" s="4"/>
      <c r="R8" s="4"/>
    </row>
    <row r="9" customFormat="false" ht="13.8" hidden="false" customHeight="false" outlineLevel="0" collapsed="false">
      <c r="A9" s="9" t="s">
        <v>26</v>
      </c>
      <c r="B9" s="9" t="s">
        <v>27</v>
      </c>
      <c r="C9" s="11" t="n">
        <v>10</v>
      </c>
      <c r="D9" s="11" t="n">
        <v>4</v>
      </c>
      <c r="E9" s="11" t="n">
        <v>5</v>
      </c>
      <c r="F9" s="11" t="n">
        <v>9</v>
      </c>
      <c r="G9" s="11" t="n">
        <v>6</v>
      </c>
      <c r="H9" s="11" t="n">
        <v>4</v>
      </c>
      <c r="I9" s="11" t="n">
        <v>6</v>
      </c>
      <c r="J9" s="11" t="n">
        <v>8</v>
      </c>
      <c r="K9" s="11" t="n">
        <v>5</v>
      </c>
      <c r="L9" s="11" t="n">
        <v>7</v>
      </c>
      <c r="M9" s="11" t="n">
        <v>5</v>
      </c>
      <c r="N9" s="11" t="n">
        <f aca="false">((C9+D9+E9)/3)*$D$5 + ((F9+G9+H9)/3)*$G$5 + ((I9+J9+K9)/3)*$J$5 + ((L9+M9)/2)*$M$5</f>
        <v>6.3</v>
      </c>
      <c r="O9" s="4"/>
      <c r="P9" s="12" t="str">
        <f aca="false">B9 &amp; " " &amp; A9</f>
        <v>Iker  Andres</v>
      </c>
      <c r="Q9" s="4"/>
      <c r="R9" s="4"/>
    </row>
    <row r="10" customFormat="false" ht="13.8" hidden="false" customHeight="false" outlineLevel="0" collapsed="false">
      <c r="A10" s="9" t="s">
        <v>28</v>
      </c>
      <c r="B10" s="9" t="s">
        <v>29</v>
      </c>
      <c r="C10" s="11" t="n">
        <v>10</v>
      </c>
      <c r="D10" s="11" t="n">
        <v>6</v>
      </c>
      <c r="E10" s="11" t="n">
        <v>7</v>
      </c>
      <c r="F10" s="11" t="n">
        <v>7</v>
      </c>
      <c r="G10" s="11" t="n">
        <v>6</v>
      </c>
      <c r="H10" s="11" t="n">
        <v>3</v>
      </c>
      <c r="I10" s="11" t="n">
        <v>3</v>
      </c>
      <c r="J10" s="11" t="n">
        <v>3</v>
      </c>
      <c r="K10" s="11" t="n">
        <v>6</v>
      </c>
      <c r="L10" s="11" t="n">
        <v>4</v>
      </c>
      <c r="M10" s="11" t="n">
        <v>7</v>
      </c>
      <c r="N10" s="11" t="n">
        <f aca="false">((C10+D10+E10)/3)*$D$5 + ((F10+G10+H10)/3)*$G$5 + ((I10+J10+K10)/3)*$J$5 + ((L10+M10)/2)*$M$5</f>
        <v>5.38333333333333</v>
      </c>
      <c r="O10" s="4"/>
      <c r="P10" s="12" t="str">
        <f aca="false">B10 &amp; " " &amp; A10</f>
        <v>Izan  Gomez</v>
      </c>
      <c r="Q10" s="4"/>
      <c r="R10" s="4"/>
    </row>
    <row r="11" customFormat="false" ht="13.8" hidden="false" customHeight="false" outlineLevel="0" collapsed="false">
      <c r="A11" s="9" t="s">
        <v>30</v>
      </c>
      <c r="B11" s="9" t="s">
        <v>27</v>
      </c>
      <c r="C11" s="11" t="n">
        <v>10</v>
      </c>
      <c r="D11" s="11" t="n">
        <v>6</v>
      </c>
      <c r="E11" s="11" t="n">
        <v>9</v>
      </c>
      <c r="F11" s="11" t="n">
        <v>4</v>
      </c>
      <c r="G11" s="11" t="n">
        <v>5</v>
      </c>
      <c r="H11" s="11" t="n">
        <v>6</v>
      </c>
      <c r="I11" s="11" t="n">
        <v>5</v>
      </c>
      <c r="J11" s="11" t="n">
        <v>6</v>
      </c>
      <c r="K11" s="11" t="n">
        <v>4</v>
      </c>
      <c r="L11" s="11" t="n">
        <v>3</v>
      </c>
      <c r="M11" s="11" t="n">
        <v>6</v>
      </c>
      <c r="N11" s="11" t="n">
        <f aca="false">((C11+D11+E11)/3)*$D$5 + ((F11+G11+H11)/3)*$G$5 + ((I11+J11+K11)/3)*$J$5 + ((L11+M11)/2)*$M$5</f>
        <v>5.95</v>
      </c>
      <c r="O11" s="4"/>
      <c r="P11" s="12" t="str">
        <f aca="false">B11 &amp; " " &amp; A11</f>
        <v>Iker  Herredia </v>
      </c>
      <c r="Q11" s="4"/>
      <c r="R11" s="4"/>
    </row>
    <row r="12" customFormat="false" ht="13.8" hidden="false" customHeight="false" outlineLevel="0" collapsed="false">
      <c r="A12" s="9" t="s">
        <v>31</v>
      </c>
      <c r="B12" s="9" t="s">
        <v>32</v>
      </c>
      <c r="C12" s="11" t="n">
        <v>10</v>
      </c>
      <c r="D12" s="11" t="n">
        <v>8</v>
      </c>
      <c r="E12" s="11" t="n">
        <v>1</v>
      </c>
      <c r="F12" s="11" t="n">
        <v>8</v>
      </c>
      <c r="G12" s="11" t="n">
        <v>6</v>
      </c>
      <c r="H12" s="11" t="n">
        <v>5</v>
      </c>
      <c r="I12" s="11" t="n">
        <v>5</v>
      </c>
      <c r="J12" s="11" t="n">
        <v>7</v>
      </c>
      <c r="K12" s="11" t="n">
        <v>8</v>
      </c>
      <c r="L12" s="11" t="n">
        <v>8</v>
      </c>
      <c r="M12" s="11" t="n">
        <v>7</v>
      </c>
      <c r="N12" s="11" t="n">
        <f aca="false">((C12+D12+E12)/3)*$D$5 + ((F12+G12+H12)/3)*$G$5 + ((I12+J12+K12)/3)*$J$5 + ((L12+M12)/2)*$M$5</f>
        <v>6.61666666666667</v>
      </c>
      <c r="O12" s="4"/>
      <c r="P12" s="12" t="str">
        <f aca="false">B12 &amp; " " &amp; A12</f>
        <v>Mohamed El Makadmi</v>
      </c>
      <c r="Q12" s="4"/>
      <c r="R12" s="4"/>
    </row>
    <row r="13" customFormat="false" ht="13.8" hidden="false" customHeight="false" outlineLevel="0" collapsed="false">
      <c r="A13" s="9" t="s">
        <v>33</v>
      </c>
      <c r="B13" s="9" t="s">
        <v>34</v>
      </c>
      <c r="C13" s="11" t="n">
        <v>10</v>
      </c>
      <c r="D13" s="11" t="n">
        <v>3</v>
      </c>
      <c r="E13" s="11" t="n">
        <v>7</v>
      </c>
      <c r="F13" s="11" t="n">
        <v>6</v>
      </c>
      <c r="G13" s="11" t="n">
        <v>5</v>
      </c>
      <c r="H13" s="11" t="n">
        <v>2</v>
      </c>
      <c r="I13" s="11" t="n">
        <v>9</v>
      </c>
      <c r="J13" s="11" t="n">
        <v>9</v>
      </c>
      <c r="K13" s="11" t="n">
        <v>8</v>
      </c>
      <c r="L13" s="11" t="n">
        <v>6</v>
      </c>
      <c r="M13" s="11" t="n">
        <v>8</v>
      </c>
      <c r="N13" s="11" t="n">
        <f aca="false">((C13+D13+E13)/3)*$D$5 + ((F13+G13+H13)/3)*$G$5 + ((I13+J13+K13)/3)*$J$5 + ((L13+M13)/2)*$M$5</f>
        <v>7.46666666666667</v>
      </c>
      <c r="O13" s="4"/>
      <c r="P13" s="12" t="str">
        <f aca="false">B13 &amp; " " &amp; A13</f>
        <v>Aitor Holgado</v>
      </c>
      <c r="Q13" s="4"/>
      <c r="R13" s="4"/>
    </row>
    <row r="14" customFormat="false" ht="13.8" hidden="false" customHeight="false" outlineLevel="0" collapsed="false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13" t="s">
        <v>35</v>
      </c>
      <c r="N14" s="11" t="n">
        <f aca="false">AVERAGE(N6:N13)</f>
        <v>6.47083333333333</v>
      </c>
      <c r="O14" s="4"/>
      <c r="P14" s="4"/>
      <c r="Q14" s="4"/>
      <c r="R14" s="4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2025-11-26T13:32:03Z</dcterms:created>
  <dc:creator/>
  <dc:description/>
  <dc:language>es-ES</dc:language>
  <cp:lastModifiedBy/>
  <dcterms:modified xsi:type="dcterms:W3CDTF">2025-11-26T13:43:05Z</dcterms:modified>
  <cp:revision>1</cp:revision>
  <dc:subject/>
  <dc:title/>
</cp:coreProperties>
</file>