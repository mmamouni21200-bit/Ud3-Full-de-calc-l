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<sst xmlns="http://schemas.openxmlformats.org/spreadsheetml/2006/main" count="34" uniqueCount="33">
  <si>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 xml:space="preserve">FACTURA</t>
  </si>
  <si>
    <t xml:space="preserve">Datos empresa:</t>
  </si>
  <si>
    <t xml:space="preserve">Nom empresa</t>
  </si>
  <si>
    <t xml:space="preserve">Número:</t>
  </si>
  <si>
    <t xml:space="preserve">NIF</t>
  </si>
  <si>
    <t xml:space="preserve">Adreça</t>
  </si>
  <si>
    <t xml:space="preserve">Data:</t>
  </si>
  <si>
    <t xml:space="preserve">Ciutat</t>
  </si>
  <si>
    <t xml:space="preserve">Client:</t>
  </si>
  <si>
    <t xml:space="preserve">Comentaris</t>
  </si>
  <si>
    <t xml:space="preserve">Domicili:</t>
  </si>
  <si>
    <t xml:space="preserve">NIF:</t>
  </si>
  <si>
    <t xml:space="preserve">Codi</t>
  </si>
  <si>
    <t xml:space="preserve">Article</t>
  </si>
  <si>
    <t xml:space="preserve">Preu Unitari</t>
  </si>
  <si>
    <t xml:space="preserve">Unitats</t>
  </si>
  <si>
    <t xml:space="preserve">Subtotal [1]</t>
  </si>
  <si>
    <t xml:space="preserve">% Descompte</t>
  </si>
  <si>
    <t xml:space="preserve">Total descompte [2]</t>
  </si>
  <si>
    <t xml:space="preserve">     % IVA</t>
  </si>
  <si>
    <t xml:space="preserve">Total IVA [3]</t>
  </si>
  <si>
    <t xml:space="preserve">Total amb IVA [4]</t>
  </si>
  <si>
    <t xml:space="preserve">Abric talla S</t>
  </si>
  <si>
    <t xml:space="preserve">Sabates talla 36</t>
  </si>
  <si>
    <t xml:space="preserve">Llibre de text</t>
  </si>
  <si>
    <t xml:space="preserve">Patates</t>
  </si>
  <si>
    <t xml:space="preserve">Import brut [5]</t>
  </si>
  <si>
    <t xml:space="preserve">Total descomptes [6]</t>
  </si>
  <si>
    <t xml:space="preserve">Tipus IVA</t>
  </si>
  <si>
    <t xml:space="preserve">Base Imponible [7]</t>
  </si>
  <si>
    <t xml:space="preserve">Import IVA [8]</t>
  </si>
  <si>
    <t xml:space="preserve">Forma de pagament:</t>
  </si>
  <si>
    <t xml:space="preserve">TOTAL FACTURA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</si>
</sst>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 %"/>
    <numFmt numFmtId="166" formatCode="#,##0.00\ [$€-C0A];[RED]\-#,##0.00\ [$€-C0A]"/>
    <numFmt numFmtId="167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  <font>
      <b val="true"/>
      <sz val="10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B35" activeCellId="0" sqref="B35"/>
    </sheetView>
  </sheetViews>
  <sheetFormatPr defaultColWidth="11.53515625" defaultRowHeight="12.8" zeroHeight="false" outlineLevelRow="0" outlineLevelCol="0"/>
  <sheetData>
    <row r="1" customFormat="false" ht="29.15" hidden="false" customHeight="false" outlineLevel="0" collapsed="false">
      <c r="A1" s="1" t="s">
        <v>0</v>
      </c>
      <c r="G1" s="0" t="s">
        <v>1</v>
      </c>
    </row>
    <row r="2" customFormat="false" ht="12.8" hidden="false" customHeight="false" outlineLevel="0" collapsed="false">
      <c r="G2" s="0" t="s">
        <v>2</v>
      </c>
    </row>
    <row r="3" customFormat="false" ht="12.8" hidden="false" customHeight="false" outlineLevel="0" collapsed="false">
      <c r="A3" s="2" t="s">
        <v>3</v>
      </c>
      <c r="E3" s="2" t="s">
        <v>4</v>
      </c>
      <c r="G3" s="0" t="s">
        <v>5</v>
      </c>
    </row>
    <row r="4" customFormat="false" ht="12.8" hidden="false" customHeight="false" outlineLevel="0" collapsed="false">
      <c r="A4" s="2" t="s">
        <v>6</v>
      </c>
      <c r="G4" s="0" t="s">
        <v>7</v>
      </c>
    </row>
    <row r="6" customFormat="false" ht="12.8" hidden="false" customHeight="false" outlineLevel="0" collapsed="false">
      <c r="A6" s="2" t="s">
        <v>8</v>
      </c>
      <c r="E6" s="0" t="s">
        <v>9</v>
      </c>
    </row>
    <row r="7" customFormat="false" ht="12.8" hidden="false" customHeight="false" outlineLevel="0" collapsed="false">
      <c r="A7" s="0" t="s">
        <v>10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11</v>
      </c>
    </row>
    <row r="11" customFormat="false" ht="12.8" hidden="false" customHeight="false" outlineLevel="0" collapsed="false">
      <c r="A11" s="3" t="s">
        <v>12</v>
      </c>
      <c r="B11" s="3" t="s">
        <v>13</v>
      </c>
      <c r="C11" s="3"/>
      <c r="D11" s="3" t="s">
        <v>14</v>
      </c>
      <c r="E11" s="3" t="s">
        <v>15</v>
      </c>
      <c r="F11" s="4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4" t="s">
        <v>21</v>
      </c>
    </row>
    <row r="12" customFormat="false" ht="12.8" hidden="false" customHeight="false" outlineLevel="0" collapsed="false">
      <c r="A12" s="5" t="n">
        <v>123935</v>
      </c>
      <c r="B12" s="5" t="s">
        <v>22</v>
      </c>
      <c r="C12" s="5"/>
      <c r="D12" s="5" t="n">
        <v>14.99</v>
      </c>
      <c r="E12" s="5" t="n">
        <v>2</v>
      </c>
      <c r="F12" s="0" t="n">
        <f aca="false">D12*E12</f>
        <v>29.98</v>
      </c>
      <c r="G12" s="6" t="n">
        <v>0.05</v>
      </c>
      <c r="H12" s="0" t="n">
        <f aca="false">F12*G12</f>
        <v>1.499</v>
      </c>
      <c r="I12" s="6" t="n">
        <v>0.21</v>
      </c>
      <c r="J12" s="0" t="n">
        <f aca="false">(F12-H12)*I12</f>
        <v>5.98101</v>
      </c>
      <c r="K12" s="0" t="n">
        <f aca="false">F12-H12+J12</f>
        <v>34.46201</v>
      </c>
    </row>
    <row r="13" customFormat="false" ht="23.85" hidden="false" customHeight="false" outlineLevel="0" collapsed="false">
      <c r="A13" s="5" t="n">
        <v>123936</v>
      </c>
      <c r="B13" s="5" t="s">
        <v>23</v>
      </c>
      <c r="D13" s="5" t="n">
        <v>29.15</v>
      </c>
      <c r="E13" s="0" t="n">
        <v>1</v>
      </c>
      <c r="F13" s="0" t="n">
        <f aca="false">D13*E13</f>
        <v>29.15</v>
      </c>
      <c r="G13" s="6" t="n">
        <v>0.03</v>
      </c>
      <c r="H13" s="0" t="n">
        <f aca="false">F12*G13</f>
        <v>0.8994</v>
      </c>
      <c r="I13" s="6" t="n">
        <v>0.21</v>
      </c>
      <c r="J13" s="0" t="n">
        <f aca="false">(F13-H13)*I13</f>
        <v>5.932626</v>
      </c>
      <c r="K13" s="0" t="n">
        <f aca="false">F13-H13+J13</f>
        <v>34.183226</v>
      </c>
    </row>
    <row r="14" customFormat="false" ht="12.8" hidden="false" customHeight="false" outlineLevel="0" collapsed="false">
      <c r="A14" s="5" t="n">
        <v>123937</v>
      </c>
      <c r="B14" s="5" t="s">
        <v>24</v>
      </c>
      <c r="D14" s="5" t="n">
        <v>25.66</v>
      </c>
      <c r="E14" s="0" t="n">
        <v>3</v>
      </c>
      <c r="F14" s="0" t="n">
        <f aca="false">D14*E14</f>
        <v>76.98</v>
      </c>
      <c r="G14" s="6" t="n">
        <v>0.1</v>
      </c>
      <c r="H14" s="0" t="n">
        <f aca="false">F14*G14</f>
        <v>7.698</v>
      </c>
      <c r="I14" s="6" t="n">
        <v>0.1</v>
      </c>
      <c r="J14" s="0" t="n">
        <f aca="false">(F14-H14)*I14</f>
        <v>6.9282</v>
      </c>
      <c r="K14" s="0" t="n">
        <f aca="false">F14-H14+J14</f>
        <v>76.2102</v>
      </c>
    </row>
    <row r="15" customFormat="false" ht="12.8" hidden="false" customHeight="false" outlineLevel="0" collapsed="false">
      <c r="A15" s="5" t="n">
        <v>123938</v>
      </c>
      <c r="B15" s="0" t="s">
        <v>25</v>
      </c>
      <c r="D15" s="0" t="n">
        <v>0.85</v>
      </c>
      <c r="E15" s="0" t="n">
        <v>5</v>
      </c>
      <c r="F15" s="0" t="n">
        <f aca="false">D15*E15</f>
        <v>4.25</v>
      </c>
      <c r="G15" s="6" t="n">
        <v>0</v>
      </c>
      <c r="H15" s="0" t="n">
        <f aca="false">F15*G15</f>
        <v>0</v>
      </c>
      <c r="I15" s="6" t="n">
        <v>0.04</v>
      </c>
      <c r="J15" s="0" t="n">
        <f aca="false">(15-H15)*I15</f>
        <v>0.6</v>
      </c>
      <c r="K15" s="0" t="n">
        <f aca="false">F15-H15+J15</f>
        <v>4.85</v>
      </c>
    </row>
    <row r="16" customFormat="false" ht="12.8" hidden="false" customHeight="false" outlineLevel="0" collapsed="false">
      <c r="F16" s="0" t="n">
        <v>0</v>
      </c>
      <c r="H16" s="7" t="n">
        <v>0</v>
      </c>
      <c r="J16" s="7" t="n">
        <v>0</v>
      </c>
      <c r="K16" s="7" t="n">
        <v>0</v>
      </c>
    </row>
    <row r="17" customFormat="false" ht="12.8" hidden="false" customHeight="false" outlineLevel="0" collapsed="false">
      <c r="F17" s="0" t="n">
        <v>0</v>
      </c>
      <c r="H17" s="7" t="n">
        <v>0</v>
      </c>
      <c r="J17" s="7" t="n">
        <v>0</v>
      </c>
      <c r="K17" s="7" t="n">
        <v>0</v>
      </c>
    </row>
    <row r="18" customFormat="false" ht="12.8" hidden="false" customHeight="false" outlineLevel="0" collapsed="false">
      <c r="F18" s="0" t="n">
        <v>0</v>
      </c>
      <c r="H18" s="7" t="n">
        <v>0</v>
      </c>
      <c r="J18" s="7" t="n">
        <v>0</v>
      </c>
      <c r="K18" s="7" t="n">
        <v>0</v>
      </c>
    </row>
    <row r="19" customFormat="false" ht="12.8" hidden="false" customHeight="false" outlineLevel="0" collapsed="false">
      <c r="F19" s="0" t="n">
        <v>0</v>
      </c>
      <c r="H19" s="7" t="n">
        <v>0</v>
      </c>
      <c r="J19" s="7" t="n">
        <v>0</v>
      </c>
      <c r="K19" s="7" t="n">
        <v>0</v>
      </c>
    </row>
    <row r="20" customFormat="false" ht="12.8" hidden="false" customHeight="false" outlineLevel="0" collapsed="false">
      <c r="F20" s="0" t="n">
        <v>0</v>
      </c>
      <c r="H20" s="7" t="n">
        <v>0</v>
      </c>
      <c r="J20" s="7" t="n">
        <v>0</v>
      </c>
      <c r="K20" s="7" t="n">
        <v>0</v>
      </c>
    </row>
    <row r="21" customFormat="false" ht="12.8" hidden="false" customHeight="false" outlineLevel="0" collapsed="false">
      <c r="F21" s="0" t="n">
        <v>0</v>
      </c>
      <c r="H21" s="7" t="n">
        <v>0</v>
      </c>
      <c r="J21" s="7" t="n">
        <v>0</v>
      </c>
      <c r="K21" s="7" t="n">
        <v>0</v>
      </c>
    </row>
    <row r="23" customFormat="false" ht="23.85" hidden="false" customHeight="false" outlineLevel="0" collapsed="false">
      <c r="A23" s="8" t="s">
        <v>26</v>
      </c>
      <c r="B23" s="9"/>
      <c r="C23" s="10"/>
      <c r="D23" s="10" t="s">
        <v>27</v>
      </c>
      <c r="E23" s="10"/>
      <c r="F23" s="10" t="s">
        <v>28</v>
      </c>
      <c r="G23" s="10" t="s">
        <v>29</v>
      </c>
      <c r="H23" s="10" t="s">
        <v>30</v>
      </c>
      <c r="J23" s="2"/>
    </row>
    <row r="24" customFormat="false" ht="12.8" hidden="false" customHeight="false" outlineLevel="0" collapsed="false">
      <c r="C24" s="7"/>
      <c r="D24" s="11"/>
      <c r="E24" s="7"/>
      <c r="F24" s="6"/>
    </row>
    <row r="25" customFormat="false" ht="17.35" hidden="false" customHeight="false" outlineLevel="0" collapsed="false">
      <c r="B25" s="12" t="n">
        <f aca="false">SUM(F12:F21)</f>
        <v>140.36</v>
      </c>
      <c r="D25" s="13" t="n">
        <f aca="false">SUM(H12:H21)</f>
        <v>10.0964</v>
      </c>
      <c r="F25" s="14" t="n">
        <v>0.04</v>
      </c>
      <c r="G25" s="5" t="n">
        <f aca="false">SUMIF(I$12:I$21,F25,F$12:F$21)-SUMIF(I$12:I$21,F25,H$12:H$21)</f>
        <v>4.25</v>
      </c>
      <c r="H25" s="5" t="n">
        <f aca="false">G25*F25</f>
        <v>0.17</v>
      </c>
    </row>
    <row r="26" customFormat="false" ht="12.8" hidden="false" customHeight="false" outlineLevel="0" collapsed="false">
      <c r="F26" s="6" t="n">
        <v>0.1</v>
      </c>
      <c r="G26" s="5" t="n">
        <f aca="false">SUMIF(I$12:I$21,F26,F$12:F$21)-SUMIF(I$12:I$21,F26,H$12:H$21)</f>
        <v>69.282</v>
      </c>
      <c r="H26" s="5" t="n">
        <f aca="false">G26*F26</f>
        <v>6.9282</v>
      </c>
    </row>
    <row r="27" customFormat="false" ht="12.8" hidden="false" customHeight="false" outlineLevel="0" collapsed="false">
      <c r="F27" s="6" t="n">
        <v>0.21</v>
      </c>
      <c r="G27" s="5" t="n">
        <f aca="false">SUMIF(I$12:I$21,F27,F$12:F$21)-SUMIF(I$12:I$21,F27,H$12:H$21)</f>
        <v>56.7316</v>
      </c>
      <c r="H27" s="5" t="n">
        <f aca="false">G27*F27</f>
        <v>11.913636</v>
      </c>
    </row>
    <row r="30" customFormat="false" ht="12.8" hidden="false" customHeight="false" outlineLevel="0" collapsed="false">
      <c r="A30" s="0" t="s">
        <v>31</v>
      </c>
    </row>
    <row r="31" customFormat="false" ht="12.8" hidden="false" customHeight="false" outlineLevel="0" collapsed="false">
      <c r="F31" s="0" t="s">
        <v>32</v>
      </c>
      <c r="H31" s="11" t="n">
        <f aca="false">SUM(K12:K21)</f>
        <v>149.705436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2025-11-05T17:49:46Z</dcterms:created>
  <dc:creator/>
  <dc:description/>
  <dc:language>es-ES</dc:language>
  <cp:lastModifiedBy/>
  <dcterms:modified xsi:type="dcterms:W3CDTF">2025-11-05T19:39:43Z</dcterms:modified>
  <cp:revision>2</cp:revision>
  <dc:subject/>
  <dc:title/>
</cp:coreProperties>
</file>