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0740" tabRatio="5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<sst xmlns="http://schemas.openxmlformats.org/spreadsheetml/2006/main" count="44" uniqueCount="36">
  <si>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 xml:space="preserve">            QUADERN DEL PROFESSOR</t>
  </si>
  <si>
    <t xml:space="preserve">          ALUMNAT</t>
  </si>
  <si>
    <t>Practiques</t>
  </si>
  <si>
    <t>Exercicis</t>
  </si>
  <si>
    <t>Exàmens</t>
  </si>
  <si>
    <t>Treball</t>
  </si>
  <si>
    <t>Cognoms</t>
  </si>
  <si>
    <t>Nom</t>
  </si>
  <si>
    <t>P1</t>
  </si>
  <si>
    <t>P2</t>
  </si>
  <si>
    <t>P3</t>
  </si>
  <si>
    <t>E1</t>
  </si>
  <si>
    <t>E2</t>
  </si>
  <si>
    <t>E3</t>
  </si>
  <si>
    <t>X1</t>
  </si>
  <si>
    <t>X2</t>
  </si>
  <si>
    <t>X3</t>
  </si>
  <si>
    <t>A casa</t>
  </si>
  <si>
    <t>A classe</t>
  </si>
  <si>
    <t>Nota Final</t>
  </si>
  <si>
    <t>Mamouni</t>
  </si>
  <si>
    <t xml:space="preserve">Mohamed </t>
  </si>
  <si>
    <t xml:space="preserve">Gómez </t>
  </si>
  <si>
    <t xml:space="preserve">Joan  </t>
  </si>
  <si>
    <t>Manteca</t>
  </si>
  <si>
    <t xml:space="preserve">Dani </t>
  </si>
  <si>
    <t>Andres</t>
  </si>
  <si>
    <t xml:space="preserve">Iker </t>
  </si>
  <si>
    <t>Gomez</t>
  </si>
  <si>
    <t xml:space="preserve">Izan </t>
  </si>
  <si>
    <t xml:space="preserve">Herredia </t>
  </si>
  <si>
    <t>El Makadmi</t>
  </si>
  <si>
    <t>Mohamed</t>
  </si>
  <si>
    <t>Holgado</t>
  </si>
  <si>
    <t>Aitor</t>
  </si>
  <si>
    <t>Promedio: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</si>
</sst>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&quot;-&quot;??_-;_-@_-"/>
    <numFmt numFmtId="177" formatCode="_-* #,##0_-;\-&quot;€&quot;* #,##0_-;_-&quot;€&quot;* &quot;-&quot;_-;_-@_-"/>
    <numFmt numFmtId="178" formatCode="0.00&quot; &quot;%"/>
  </numFmts>
  <fonts count="27">
    <font>
      <sz val="10"/>
      <name val="Arial"/>
      <charset val="134"/>
    </font>
    <font>
      <sz val="10"/>
      <color theme="1"/>
      <name val="Arial"/>
      <charset val="134"/>
    </font>
    <font>
      <b/>
      <sz val="15"/>
      <color theme="1"/>
      <name val="Arial"/>
      <charset val="134"/>
    </font>
    <font>
      <sz val="15"/>
      <color theme="1"/>
      <name val="Arial"/>
      <charset val="134"/>
    </font>
    <font>
      <sz val="10"/>
      <color theme="1"/>
      <name val="Times New Roman"/>
      <charset val="134"/>
    </font>
    <font>
      <sz val="11"/>
      <color theme="1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Border="0" applyAlignment="0" applyProtection="0"/>
    <xf numFmtId="176" fontId="0" fillId="0" borderId="0" applyBorder="0" applyAlignment="0" applyProtection="0"/>
    <xf numFmtId="9" fontId="0" fillId="0" borderId="0" applyBorder="0" applyAlignment="0" applyProtection="0"/>
    <xf numFmtId="41" fontId="0" fillId="0" borderId="0" applyBorder="0" applyAlignment="0" applyProtection="0"/>
    <xf numFmtId="177" fontId="0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Border="1" applyAlignment="1" applyProtection="1"/>
    <xf numFmtId="0" fontId="2" fillId="2" borderId="0" xfId="0" applyFont="1" applyFill="1" applyBorder="1" applyAlignment="1" applyProtection="1"/>
    <xf numFmtId="0" fontId="3" fillId="2" borderId="0" xfId="0" applyFont="1" applyFill="1" applyBorder="1" applyAlignment="1" applyProtection="1"/>
    <xf numFmtId="178" fontId="1" fillId="2" borderId="0" xfId="0" applyNumberFormat="1" applyFont="1" applyFill="1" applyBorder="1" applyAlignment="1" applyProtection="1"/>
    <xf numFmtId="0" fontId="1" fillId="2" borderId="1" xfId="0" applyFont="1" applyFill="1" applyBorder="1" applyAlignment="1" applyProtection="1"/>
    <xf numFmtId="0" fontId="4" fillId="2" borderId="1" xfId="0" applyFont="1" applyFill="1" applyBorder="1" applyAlignment="1" applyProtection="1">
      <alignment wrapText="1"/>
    </xf>
    <xf numFmtId="178" fontId="1" fillId="2" borderId="1" xfId="0" applyNumberFormat="1" applyFont="1" applyFill="1" applyBorder="1" applyAlignment="1" applyProtection="1"/>
    <xf numFmtId="0" fontId="1" fillId="0" borderId="1" xfId="0" applyFont="1" applyBorder="1" applyAlignment="1" applyProtection="1"/>
    <xf numFmtId="0" fontId="5" fillId="0" borderId="1" xfId="0" applyFont="1" applyBorder="1" applyAlignment="1" applyProtection="1">
      <alignment wrapText="1"/>
    </xf>
    <xf numFmtId="0" fontId="5" fillId="0" borderId="1" xfId="0" applyFont="1" applyBorder="1" applyAlignment="1" applyProtection="1"/>
    <xf numFmtId="0" fontId="0" fillId="0" borderId="0" xfId="0" applyAlignment="1" applyProtection="1"/>
    <xf numFmtId="0" fontId="5" fillId="0" borderId="0" xfId="0" applyFont="1" applyAlignment="1" applyProtection="1"/>
    <xf numFmtId="0" fontId="6" fillId="0" borderId="1" xfId="0" applyFont="1" applyBorder="1" applyAlignment="1" applyProtection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"/>
  <sheetViews>
    <sheetView tabSelected="1" workbookViewId="0">
      <selection activeCell="O34" sqref="O34"/>
    </sheetView>
  </sheetViews>
  <sheetFormatPr defaultColWidth="11.5333333333333" defaultRowHeight="12.75"/>
  <sheetData>
    <row r="1" ht="19.5" spans="1:18">
      <c r="A1" s="1"/>
      <c r="B1" s="1"/>
      <c r="C1" s="1"/>
      <c r="D1" s="1"/>
      <c r="E1" s="1"/>
      <c r="F1" s="2" t="s">
        <v>0</v>
      </c>
      <c r="G1" s="3"/>
      <c r="H1" s="3"/>
      <c r="I1" s="1"/>
      <c r="J1" s="1"/>
      <c r="K1" s="1"/>
      <c r="L1" s="1"/>
      <c r="M1" s="1"/>
      <c r="N1" s="1"/>
      <c r="O1" s="11"/>
      <c r="P1" s="11"/>
      <c r="Q1" s="11"/>
      <c r="R1" s="11"/>
    </row>
    <row r="2" spans="1:18">
      <c r="A2" s="1"/>
      <c r="B2" s="1"/>
      <c r="C2" s="1"/>
      <c r="D2" s="4"/>
      <c r="E2" s="4"/>
      <c r="F2" s="1"/>
      <c r="G2" s="4"/>
      <c r="H2" s="1"/>
      <c r="I2" s="1"/>
      <c r="J2" s="4"/>
      <c r="K2" s="1"/>
      <c r="L2" s="1"/>
      <c r="M2" s="4"/>
      <c r="N2" s="1"/>
      <c r="O2" s="11"/>
      <c r="P2" s="11"/>
      <c r="Q2" s="11"/>
      <c r="R2" s="11"/>
    </row>
    <row r="3" spans="1:18">
      <c r="A3" s="5" t="s">
        <v>1</v>
      </c>
      <c r="B3" s="5"/>
      <c r="C3" s="6" t="s">
        <v>2</v>
      </c>
      <c r="D3" s="6" t="s">
        <v>2</v>
      </c>
      <c r="E3" s="6" t="s">
        <v>2</v>
      </c>
      <c r="F3" s="6" t="s">
        <v>3</v>
      </c>
      <c r="G3" s="6" t="s">
        <v>3</v>
      </c>
      <c r="H3" s="6" t="s">
        <v>3</v>
      </c>
      <c r="I3" s="6" t="s">
        <v>4</v>
      </c>
      <c r="J3" s="6" t="s">
        <v>4</v>
      </c>
      <c r="K3" s="6" t="s">
        <v>4</v>
      </c>
      <c r="L3" s="6" t="s">
        <v>5</v>
      </c>
      <c r="M3" s="6" t="s">
        <v>5</v>
      </c>
      <c r="N3" s="5"/>
      <c r="O3" s="11"/>
      <c r="P3" s="11"/>
      <c r="Q3" s="11"/>
      <c r="R3" s="11"/>
    </row>
    <row r="4" spans="1:18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19</v>
      </c>
      <c r="O4" s="11"/>
      <c r="P4" s="11"/>
      <c r="Q4" s="11"/>
      <c r="R4" s="11"/>
    </row>
    <row r="5" spans="1:18">
      <c r="A5" s="5"/>
      <c r="B5" s="5"/>
      <c r="C5" s="5"/>
      <c r="D5" s="7">
        <v>0.3</v>
      </c>
      <c r="E5" s="7"/>
      <c r="F5" s="5"/>
      <c r="G5" s="7">
        <v>0.1</v>
      </c>
      <c r="H5" s="5"/>
      <c r="I5" s="5"/>
      <c r="J5" s="7">
        <v>0.5</v>
      </c>
      <c r="K5" s="5"/>
      <c r="L5" s="5"/>
      <c r="M5" s="7">
        <v>0.1</v>
      </c>
      <c r="N5" s="5"/>
      <c r="O5" s="11"/>
      <c r="P5" s="11"/>
      <c r="Q5" s="11"/>
      <c r="R5" s="11"/>
    </row>
    <row r="6" ht="14.25" spans="1:18">
      <c r="A6" s="8" t="s">
        <v>20</v>
      </c>
      <c r="B6" s="8" t="s">
        <v>21</v>
      </c>
      <c r="C6" s="9">
        <v>10</v>
      </c>
      <c r="D6" s="9">
        <v>0</v>
      </c>
      <c r="E6" s="9">
        <v>10</v>
      </c>
      <c r="F6" s="9">
        <v>4</v>
      </c>
      <c r="G6" s="9">
        <v>7</v>
      </c>
      <c r="H6" s="9">
        <v>8</v>
      </c>
      <c r="I6" s="9">
        <v>9</v>
      </c>
      <c r="J6" s="9">
        <v>8</v>
      </c>
      <c r="K6" s="9">
        <v>7</v>
      </c>
      <c r="L6" s="9">
        <v>7</v>
      </c>
      <c r="M6" s="9">
        <v>3</v>
      </c>
      <c r="N6" s="10">
        <f>((C6+D6+E6)/3)*$D$5+((F6+G6+H6)/3)*$G$5+((I6+J6+K6)/3)*$J$5+((L6+M6)/2)*$M$5</f>
        <v>7.13333333333333</v>
      </c>
      <c r="O6" s="11"/>
      <c r="P6" s="12" t="str">
        <f t="shared" ref="P6:P13" si="0">B6&amp;" "&amp;A6</f>
        <v>Mohamed  Mamouni</v>
      </c>
      <c r="Q6" s="11"/>
      <c r="R6" s="11"/>
    </row>
    <row r="7" ht="14.25" spans="1:18">
      <c r="A7" s="8" t="s">
        <v>22</v>
      </c>
      <c r="B7" s="8" t="s">
        <v>23</v>
      </c>
      <c r="C7" s="10">
        <v>10</v>
      </c>
      <c r="D7" s="10">
        <v>0</v>
      </c>
      <c r="E7" s="10">
        <v>7</v>
      </c>
      <c r="F7" s="10">
        <v>6</v>
      </c>
      <c r="G7" s="10">
        <v>7</v>
      </c>
      <c r="H7" s="10">
        <v>3</v>
      </c>
      <c r="I7" s="10">
        <v>8</v>
      </c>
      <c r="J7" s="10">
        <v>7</v>
      </c>
      <c r="K7" s="10">
        <v>9</v>
      </c>
      <c r="L7" s="10">
        <v>7</v>
      </c>
      <c r="M7" s="10">
        <v>10</v>
      </c>
      <c r="N7" s="10">
        <f>((C7+D7+E7)/3)*$D$5+((F7+G7+H7)/3)*$G$5+((I7+J7+K7)/3)*$J$5+((L7+M7)/2)*$M$5</f>
        <v>7.08333333333333</v>
      </c>
      <c r="O7" s="11"/>
      <c r="P7" s="12" t="str">
        <f t="shared" si="0"/>
        <v>Joan   Gómez </v>
      </c>
      <c r="Q7" s="11"/>
      <c r="R7" s="11"/>
    </row>
    <row r="8" ht="14.25" spans="1:18">
      <c r="A8" s="8" t="s">
        <v>24</v>
      </c>
      <c r="B8" s="8" t="s">
        <v>25</v>
      </c>
      <c r="C8" s="10">
        <v>10</v>
      </c>
      <c r="D8" s="10">
        <v>0</v>
      </c>
      <c r="E8" s="10">
        <v>5</v>
      </c>
      <c r="F8" s="10">
        <v>8</v>
      </c>
      <c r="G8" s="10">
        <v>6</v>
      </c>
      <c r="H8" s="10">
        <v>4</v>
      </c>
      <c r="I8" s="10">
        <v>7</v>
      </c>
      <c r="J8" s="10">
        <v>7</v>
      </c>
      <c r="K8" s="10">
        <v>6</v>
      </c>
      <c r="L8" s="10">
        <v>3</v>
      </c>
      <c r="M8" s="10">
        <v>5</v>
      </c>
      <c r="N8" s="8">
        <f>((C8+D8+E8)/3)*$D$5+((F8+G8+H8)/3)*$G$5+((I8+J8+K8)/3)*$J$5+((L8+M8)/2)*$M$5</f>
        <v>5.83333333333333</v>
      </c>
      <c r="O8" s="11"/>
      <c r="P8" s="12" t="str">
        <f t="shared" si="0"/>
        <v>Dani  Manteca</v>
      </c>
      <c r="Q8" s="11"/>
      <c r="R8" s="11"/>
    </row>
    <row r="9" ht="14.25" spans="1:18">
      <c r="A9" s="8" t="s">
        <v>26</v>
      </c>
      <c r="B9" s="8" t="s">
        <v>27</v>
      </c>
      <c r="C9" s="10">
        <v>10</v>
      </c>
      <c r="D9" s="10">
        <v>4</v>
      </c>
      <c r="E9" s="10">
        <v>5</v>
      </c>
      <c r="F9" s="10">
        <v>9</v>
      </c>
      <c r="G9" s="10">
        <v>6</v>
      </c>
      <c r="H9" s="10">
        <v>4</v>
      </c>
      <c r="I9" s="10">
        <v>6</v>
      </c>
      <c r="J9" s="10">
        <v>8</v>
      </c>
      <c r="K9" s="10">
        <v>5</v>
      </c>
      <c r="L9" s="10">
        <v>7</v>
      </c>
      <c r="M9" s="10">
        <v>5</v>
      </c>
      <c r="N9" s="10">
        <f>((C9+D9+E9)/3)*$D$5+((F9+G9+H9)/3)*$G$5+((I9+J9+K9)/3)*$J$5+((L9+M9)/2)*$M$5</f>
        <v>6.3</v>
      </c>
      <c r="O9" s="11"/>
      <c r="P9" s="12" t="str">
        <f t="shared" si="0"/>
        <v>Iker  Andres</v>
      </c>
      <c r="Q9" s="11"/>
      <c r="R9" s="11"/>
    </row>
    <row r="10" ht="14.25" spans="1:18">
      <c r="A10" s="8" t="s">
        <v>28</v>
      </c>
      <c r="B10" s="8" t="s">
        <v>29</v>
      </c>
      <c r="C10" s="10">
        <v>10</v>
      </c>
      <c r="D10" s="10">
        <v>6</v>
      </c>
      <c r="E10" s="10">
        <v>7</v>
      </c>
      <c r="F10" s="10">
        <v>7</v>
      </c>
      <c r="G10" s="10">
        <v>6</v>
      </c>
      <c r="H10" s="10">
        <v>3</v>
      </c>
      <c r="I10" s="10">
        <v>3</v>
      </c>
      <c r="J10" s="10">
        <v>3</v>
      </c>
      <c r="K10" s="10">
        <v>6</v>
      </c>
      <c r="L10" s="10">
        <v>4</v>
      </c>
      <c r="M10" s="10">
        <v>7</v>
      </c>
      <c r="N10" s="10">
        <f>((C10+D10+E10)/3)*$D$5+((F10+G10+H10)/3)*$G$5+((I10+J10+K10)/3)*$J$5+((L10+M10)/2)*$M$5</f>
        <v>5.38333333333333</v>
      </c>
      <c r="O10" s="11"/>
      <c r="P10" s="12" t="str">
        <f t="shared" si="0"/>
        <v>Izan  Gomez</v>
      </c>
      <c r="Q10" s="11"/>
      <c r="R10" s="11"/>
    </row>
    <row r="11" ht="14.25" spans="1:18">
      <c r="A11" s="8" t="s">
        <v>30</v>
      </c>
      <c r="B11" s="8" t="s">
        <v>27</v>
      </c>
      <c r="C11" s="10">
        <v>10</v>
      </c>
      <c r="D11" s="10">
        <v>6</v>
      </c>
      <c r="E11" s="10">
        <v>9</v>
      </c>
      <c r="F11" s="10">
        <v>4</v>
      </c>
      <c r="G11" s="10">
        <v>5</v>
      </c>
      <c r="H11" s="10">
        <v>6</v>
      </c>
      <c r="I11" s="10">
        <v>5</v>
      </c>
      <c r="J11" s="10">
        <v>6</v>
      </c>
      <c r="K11" s="10">
        <v>4</v>
      </c>
      <c r="L11" s="10">
        <v>3</v>
      </c>
      <c r="M11" s="10">
        <v>6</v>
      </c>
      <c r="N11" s="10">
        <f>((C11+D11+E11)/3)*$D$5+((F11+G11+H11)/3)*$G$5+((I11+J11+K11)/3)*$J$5+((L11+M11)/2)*$M$5</f>
        <v>5.95</v>
      </c>
      <c r="O11" s="11"/>
      <c r="P11" s="12" t="str">
        <f t="shared" si="0"/>
        <v>Iker  Herredia </v>
      </c>
      <c r="Q11" s="11"/>
      <c r="R11" s="11"/>
    </row>
    <row r="12" ht="14.25" spans="1:18">
      <c r="A12" s="8" t="s">
        <v>31</v>
      </c>
      <c r="B12" s="8" t="s">
        <v>32</v>
      </c>
      <c r="C12" s="10">
        <v>10</v>
      </c>
      <c r="D12" s="10">
        <v>8</v>
      </c>
      <c r="E12" s="10">
        <v>1</v>
      </c>
      <c r="F12" s="10">
        <v>8</v>
      </c>
      <c r="G12" s="10">
        <v>6</v>
      </c>
      <c r="H12" s="10">
        <v>5</v>
      </c>
      <c r="I12" s="10">
        <v>5</v>
      </c>
      <c r="J12" s="10">
        <v>7</v>
      </c>
      <c r="K12" s="10">
        <v>8</v>
      </c>
      <c r="L12" s="10">
        <v>8</v>
      </c>
      <c r="M12" s="10">
        <v>7</v>
      </c>
      <c r="N12" s="10">
        <f>((C12+D12+E12)/3)*$D$5+((F12+G12+H12)/3)*$G$5+((I12+J12+K12)/3)*$J$5+((L12+M12)/2)*$M$5</f>
        <v>6.61666666666667</v>
      </c>
      <c r="O12" s="11"/>
      <c r="P12" s="12" t="str">
        <f t="shared" si="0"/>
        <v>Mohamed El Makadmi</v>
      </c>
      <c r="Q12" s="11"/>
      <c r="R12" s="11"/>
    </row>
    <row r="13" ht="14.25" spans="1:18">
      <c r="A13" s="8" t="s">
        <v>33</v>
      </c>
      <c r="B13" s="8" t="s">
        <v>34</v>
      </c>
      <c r="C13" s="10">
        <v>10</v>
      </c>
      <c r="D13" s="10">
        <v>3</v>
      </c>
      <c r="E13" s="10">
        <v>7</v>
      </c>
      <c r="F13" s="10">
        <v>6</v>
      </c>
      <c r="G13" s="10">
        <v>5</v>
      </c>
      <c r="H13" s="10">
        <v>2</v>
      </c>
      <c r="I13" s="10">
        <v>9</v>
      </c>
      <c r="J13" s="10">
        <v>9</v>
      </c>
      <c r="K13" s="10">
        <v>8</v>
      </c>
      <c r="L13" s="10">
        <v>6</v>
      </c>
      <c r="M13" s="10">
        <v>8</v>
      </c>
      <c r="N13" s="10">
        <f>((C13+D13+E13)/3)*$D$5+((F13+G13+H13)/3)*$G$5+((I13+J13+K13)/3)*$J$5+((L13+M13)/2)*$M$5</f>
        <v>7.46666666666667</v>
      </c>
      <c r="O13" s="11"/>
      <c r="P13" s="12" t="str">
        <f t="shared" si="0"/>
        <v>Aitor Holgado</v>
      </c>
      <c r="Q13" s="11"/>
      <c r="R13" s="11"/>
    </row>
    <row r="14" ht="14.25" spans="1:18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3" t="s">
        <v>35</v>
      </c>
      <c r="N14" s="10">
        <f>AVERAGE(N6:N13)</f>
        <v>6.47083333333333</v>
      </c>
      <c r="O14" s="11"/>
      <c r="P14" s="11"/>
      <c r="Q14" s="11"/>
      <c r="R14" s="11"/>
    </row>
  </sheetData>
  <pageMargins left="0.7875" right="0.7875" top="1.025" bottom="1.025" header="0.7875" footer="0.7875"/>
  <pageSetup paperSize="9" orientation="portrait" useFirstPageNumber="1" horizontalDpi="300" verticalDpi="30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</cp:lastModifiedBy>
  <cp:revision>1</cp:revision>
  <dcterms:created xsi:type="dcterms:W3CDTF">2025-11-26T13:32:00Z</dcterms:created>
  <dcterms:modified xsi:type="dcterms:W3CDTF">2025-12-09T08:26:53Z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D7F27789B4D04B7A9643F89B8AAADDD4_12</vt:lpwstr>
  </property>
  <property fmtid="{D5CDD505-2E9C-101B-9397-08002B2CF9AE}" pid="3" name="KSOProductBuildVer">
    <vt:lpwstr>3082-12.2.0.23155</vt:lpwstr>
  </property>
</Properties>
</file>